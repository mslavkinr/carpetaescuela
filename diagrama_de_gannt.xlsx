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AGRAMA DE GANT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<sst xmlns="http://schemas.openxmlformats.org/spreadsheetml/2006/main" count="50" uniqueCount="40">
  <si>
    <t xml:space="preserve">Inicio del proyecto</t>
  </si>
  <si>
    <t xml:space="preserve">\</t>
  </si>
  <si>
    <t xml:space="preserve">Tarea</t>
  </si>
  <si>
    <t xml:space="preserve">Responsable</t>
  </si>
  <si>
    <t xml:space="preserve">Progreso</t>
  </si>
  <si>
    <t xml:space="preserve">Inicio</t>
  </si>
  <si>
    <t xml:space="preserve">Fin</t>
  </si>
  <si>
    <t xml:space="preserve">PLANIFICACIÓN Y DISEÑO</t>
  </si>
  <si>
    <t xml:space="preserve">1.1 Investigación y marco teórico</t>
  </si>
  <si>
    <t xml:space="preserve">Brian</t>
  </si>
  <si>
    <r>
      <rPr>
        <sz val="10"/>
        <color theme="1"/>
        <rFont val="Times New Roman"/>
        <family val="1"/>
        <charset val="1"/>
      </rPr>
      <t xml:space="preserve">1.2</t>
    </r>
    <r>
      <rPr>
        <sz val="12"/>
        <color theme="1"/>
        <rFont val="Times New Roman"/>
        <family val="1"/>
        <charset val="1"/>
      </rPr>
      <t xml:space="preserve"> Diseño de la estructura del invernadero</t>
    </r>
  </si>
  <si>
    <t xml:space="preserve">Castillo</t>
  </si>
  <si>
    <t xml:space="preserve">1.3 Lista definitiva de materiales</t>
  </si>
  <si>
    <t xml:space="preserve">Todos</t>
  </si>
  <si>
    <t xml:space="preserve">1.4 Elaboración del informe inicial</t>
  </si>
  <si>
    <t xml:space="preserve">ADQUISICIÓN Y SIMULACIÓN </t>
  </si>
  <si>
    <t xml:space="preserve">2.1 Compra de componentes electronicos</t>
  </si>
  <si>
    <t xml:space="preserve">Slavkin </t>
  </si>
  <si>
    <t xml:space="preserve">2.2 Compra de materiales para invernadero</t>
  </si>
  <si>
    <t xml:space="preserve">Brian, Castillo</t>
  </si>
  <si>
    <t xml:space="preserve">2.3 Simulación en TinkerCad</t>
  </si>
  <si>
    <t xml:space="preserve">Landaeta</t>
  </si>
  <si>
    <t xml:space="preserve">2.4 Programación básica ESP32</t>
  </si>
  <si>
    <t xml:space="preserve">Slavkin</t>
  </si>
  <si>
    <t xml:space="preserve">2.5 Pruebas individuales de componentes</t>
  </si>
  <si>
    <r>
      <rPr>
        <sz val="12"/>
        <color theme="1"/>
        <rFont val="Times New Roman"/>
        <family val="1"/>
        <charset val="1"/>
      </rPr>
      <t xml:space="preserve">DESARROLLO Y </t>
    </r>
    <r>
      <rPr>
        <sz val="15"/>
        <color theme="1"/>
        <rFont val="Times New Roman"/>
        <family val="1"/>
        <charset val="1"/>
      </rPr>
      <t xml:space="preserve">CONSTRUCCIÓN</t>
    </r>
  </si>
  <si>
    <t xml:space="preserve">3.1 Armado del circuito en protoboard</t>
  </si>
  <si>
    <t xml:space="preserve">3.2 Construcción de la estructura
</t>
  </si>
  <si>
    <t xml:space="preserve">Castillo, Brian</t>
  </si>
  <si>
    <t xml:space="preserve">3.3 Implementación de comunicación WiFi</t>
  </si>
  <si>
    <t xml:space="preserve">3.4 Instalacion de sensores en estructura</t>
  </si>
  <si>
    <t xml:space="preserve">3.5 Sistema de bombeo y distribución</t>
  </si>
  <si>
    <t xml:space="preserve">20/10/25</t>
  </si>
  <si>
    <t xml:space="preserve">DOCUMENTACIÓN, PRESENTACIÓN Y ENTREGA</t>
  </si>
  <si>
    <t xml:space="preserve">4.1 Documentación técnica completa</t>
  </si>
  <si>
    <t xml:space="preserve">4.2 Preparacion de presentacion final</t>
  </si>
  <si>
    <t xml:space="preserve">4.3 Video demostrativo del sistema</t>
  </si>
  <si>
    <t xml:space="preserve">Landaeta, Castillo</t>
  </si>
  <si>
    <t xml:space="preserve">4.4 Informe final del proyecto</t>
  </si>
  <si>
    <t xml:space="preserve">4.5 Entrega y presentación final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</si>
</sst>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d\/mm\/yy"/>
    <numFmt numFmtId="166" formatCode="ddd\,dd\/mm\/yyyy"/>
    <numFmt numFmtId="167" formatCode="ddd\,d\/m\/yyyy"/>
    <numFmt numFmtId="168" formatCode="dd"/>
    <numFmt numFmtId="169" formatCode="ddd"/>
    <numFmt numFmtId="170" formatCode="0.00%"/>
    <numFmt numFmtId="171" formatCode="dd\-mm\-yy"/>
    <numFmt numFmtId="172" formatCode="0%"/>
  </numFmts>
  <fonts count="13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Helvetica Neue"/>
      <family val="0"/>
      <charset val="1"/>
    </font>
    <font>
      <b val="true"/>
      <sz val="10"/>
      <color rgb="FFFFFFFF"/>
      <name val="Helvetica Neue"/>
      <family val="0"/>
      <charset val="1"/>
    </font>
    <font>
      <sz val="10"/>
      <color rgb="FFFFFFFF"/>
      <name val="Helvetica Neue"/>
      <family val="0"/>
      <charset val="1"/>
    </font>
    <font>
      <sz val="8"/>
      <color rgb="FFFFFFFF"/>
      <name val="Helvetica Neue"/>
      <family val="0"/>
      <charset val="1"/>
    </font>
    <font>
      <sz val="10"/>
      <color theme="1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15"/>
      <color theme="1"/>
      <name val="Times New Roman"/>
      <family val="1"/>
      <charset val="1"/>
    </font>
    <font>
      <sz val="12"/>
      <color theme="1"/>
      <name val="Times New Roman"/>
      <family val="1"/>
      <charset val="1"/>
    </font>
    <font>
      <sz val="10"/>
      <color theme="1"/>
      <name val="Times New Roman"/>
      <family val="1"/>
      <charset val="1"/>
    </font>
  </fonts>
  <fills count="6">
    <fill>
      <patternFill patternType="none"/>
    </fill>
    <fill>
      <patternFill patternType="gray125"/>
    </fill>
    <fill>
      <patternFill patternType="solid">
        <fgColor rgb="FF666666"/>
        <bgColor rgb="FF808080"/>
      </patternFill>
    </fill>
    <fill>
      <patternFill patternType="solid">
        <fgColor theme="8"/>
        <bgColor rgb="FFFF9900"/>
      </patternFill>
    </fill>
    <fill>
      <patternFill patternType="solid">
        <fgColor rgb="FFD9EAD3"/>
        <bgColor rgb="FFD9D9D9"/>
      </patternFill>
    </fill>
    <fill>
      <patternFill patternType="solid">
        <fgColor rgb="FF434343"/>
        <bgColor rgb="FF33330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D9D9D9"/>
      </left>
      <right style="medium">
        <color rgb="FFD9D9D9"/>
      </right>
      <top/>
      <bottom/>
      <diagonal/>
    </border>
    <border diagonalUp="false" diagonalDown="false">
      <left/>
      <right style="medium">
        <color rgb="FFD9D9D9"/>
      </right>
      <top/>
      <bottom/>
      <diagonal/>
    </border>
    <border diagonalUp="false" diagonalDown="false">
      <left style="medium">
        <color rgb="FFD9D9D9"/>
      </left>
      <right/>
      <top/>
      <bottom/>
      <diagonal/>
    </border>
    <border diagonalUp="false" diagonalDown="false">
      <left/>
      <right/>
      <top style="thin">
        <color theme="0" tint="-0.5"/>
      </top>
      <bottom style="thin">
        <color theme="0" tint="-0.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4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7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7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7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9" fillId="5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9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9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4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4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4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12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border diagonalUp="false" diagonalDown="false">
        <left style="thin">
          <color rgb="FFFF0000"/>
        </left>
        <right style="thin">
          <color rgb="FFFF0000"/>
        </right>
        <top/>
        <bottom/>
        <diagonal/>
      </border>
    </dxf>
    <dxf>
      <fill>
        <patternFill>
          <bgColor theme="7"/>
        </patternFill>
      </fill>
    </dxf>
    <dxf>
      <fill>
        <patternFill>
          <bgColor theme="7" tint="0.3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7AD693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D01"/>
      <rgbColor rgb="FF666666"/>
      <rgbColor rgb="FF969696"/>
      <rgbColor rgb="FF003366"/>
      <rgbColor rgb="FF34A853"/>
      <rgbColor rgb="FF003300"/>
      <rgbColor rgb="FF333300"/>
      <rgbColor rgb="FF993300"/>
      <rgbColor rgb="FF993366"/>
      <rgbColor rgb="FF333399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L1048576"/>
  <sheetViews>
    <sheetView showFormulas="false" showGridLines="false" showRowColHeaders="true" showZeros="true" rightToLeft="false" tabSelected="true" showOutlineSymbols="true" defaultGridColor="true" view="normal" topLeftCell="A1" colorId="64" zoomScale="103" zoomScaleNormal="103" zoomScalePageLayoutView="100" workbookViewId="0">
      <pane xSplit="0" ySplit="5" topLeftCell="A19" activePane="bottomLeft" state="frozen"/>
      <selection pane="topLeft" activeCell="A1" activeCellId="0" sqref="A1"/>
      <selection pane="bottomLeft" activeCell="D18" activeCellId="0" sqref="D18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1" width="3.86"/>
    <col collapsed="false" customWidth="true" hidden="false" outlineLevel="0" max="2" min="2" style="1" width="30.71"/>
    <col collapsed="false" customWidth="true" hidden="false" outlineLevel="0" max="38" min="7" style="1" width="3.86"/>
  </cols>
  <sheetData>
    <row r="1" customFormat="false" ht="15.75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customFormat="false" ht="15.7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customFormat="false" ht="19.5" hidden="false" customHeight="true" outlineLevel="0" collapsed="false">
      <c r="A3" s="2"/>
      <c r="B3" s="2"/>
      <c r="C3" s="2"/>
      <c r="D3" s="2"/>
      <c r="E3" s="2" t="n">
        <v>0</v>
      </c>
      <c r="F3" s="3" t="n">
        <f aca="false">E4+E3</f>
        <v>45910</v>
      </c>
      <c r="G3" s="2"/>
      <c r="H3" s="4" t="n">
        <f aca="false">H4</f>
        <v>45910</v>
      </c>
      <c r="I3" s="4"/>
      <c r="J3" s="4"/>
      <c r="K3" s="4"/>
      <c r="L3" s="4"/>
      <c r="M3" s="4"/>
      <c r="N3" s="4"/>
      <c r="O3" s="4" t="n">
        <f aca="false">O4</f>
        <v>45917</v>
      </c>
      <c r="P3" s="4"/>
      <c r="Q3" s="4"/>
      <c r="R3" s="4"/>
      <c r="S3" s="4"/>
      <c r="T3" s="4"/>
      <c r="U3" s="4"/>
      <c r="V3" s="4" t="n">
        <f aca="false">V4</f>
        <v>45924</v>
      </c>
      <c r="W3" s="4"/>
      <c r="X3" s="4"/>
      <c r="Y3" s="4"/>
      <c r="Z3" s="4"/>
      <c r="AA3" s="4"/>
      <c r="AB3" s="4"/>
      <c r="AC3" s="4" t="n">
        <f aca="false">AC4</f>
        <v>45931</v>
      </c>
      <c r="AD3" s="4"/>
      <c r="AE3" s="4"/>
      <c r="AF3" s="4"/>
      <c r="AG3" s="4"/>
      <c r="AH3" s="4"/>
      <c r="AI3" s="4"/>
      <c r="AJ3" s="5" t="n">
        <f aca="false">AJ4</f>
        <v>45938</v>
      </c>
      <c r="AK3" s="5"/>
      <c r="AL3" s="5"/>
    </row>
    <row r="4" customFormat="false" ht="15.75" hidden="false" customHeight="false" outlineLevel="0" collapsed="false">
      <c r="A4" s="2"/>
      <c r="B4" s="2"/>
      <c r="C4" s="6" t="s">
        <v>0</v>
      </c>
      <c r="D4" s="6"/>
      <c r="E4" s="7" t="n">
        <v>45910</v>
      </c>
      <c r="F4" s="7"/>
      <c r="G4" s="8" t="s">
        <v>1</v>
      </c>
      <c r="H4" s="9" t="n">
        <f aca="false">F3</f>
        <v>45910</v>
      </c>
      <c r="I4" s="10" t="n">
        <f aca="false">H4+1</f>
        <v>45911</v>
      </c>
      <c r="J4" s="10" t="n">
        <f aca="false">I4+1</f>
        <v>45912</v>
      </c>
      <c r="K4" s="10" t="n">
        <f aca="false">J4+1</f>
        <v>45913</v>
      </c>
      <c r="L4" s="10" t="n">
        <f aca="false">K4+1</f>
        <v>45914</v>
      </c>
      <c r="M4" s="10" t="n">
        <f aca="false">L4+1</f>
        <v>45915</v>
      </c>
      <c r="N4" s="11" t="n">
        <f aca="false">M4+1</f>
        <v>45916</v>
      </c>
      <c r="O4" s="9" t="n">
        <f aca="false">N4+1</f>
        <v>45917</v>
      </c>
      <c r="P4" s="10" t="n">
        <f aca="false">O4+1</f>
        <v>45918</v>
      </c>
      <c r="Q4" s="10" t="n">
        <f aca="false">P4+1</f>
        <v>45919</v>
      </c>
      <c r="R4" s="10" t="n">
        <f aca="false">Q4+1</f>
        <v>45920</v>
      </c>
      <c r="S4" s="10" t="n">
        <f aca="false">R4+1</f>
        <v>45921</v>
      </c>
      <c r="T4" s="10" t="n">
        <f aca="false">S4+1</f>
        <v>45922</v>
      </c>
      <c r="U4" s="11" t="n">
        <f aca="false">T4+1</f>
        <v>45923</v>
      </c>
      <c r="V4" s="9" t="n">
        <f aca="false">U4+1</f>
        <v>45924</v>
      </c>
      <c r="W4" s="10" t="n">
        <f aca="false">V4+1</f>
        <v>45925</v>
      </c>
      <c r="X4" s="10" t="n">
        <f aca="false">W4+1</f>
        <v>45926</v>
      </c>
      <c r="Y4" s="10" t="n">
        <f aca="false">X4+1</f>
        <v>45927</v>
      </c>
      <c r="Z4" s="10" t="n">
        <f aca="false">Y4+1</f>
        <v>45928</v>
      </c>
      <c r="AA4" s="10" t="n">
        <f aca="false">Z4+1</f>
        <v>45929</v>
      </c>
      <c r="AB4" s="11" t="n">
        <f aca="false">AA4+1</f>
        <v>45930</v>
      </c>
      <c r="AC4" s="9" t="n">
        <f aca="false">AB4+1</f>
        <v>45931</v>
      </c>
      <c r="AD4" s="10" t="n">
        <f aca="false">AC4+1</f>
        <v>45932</v>
      </c>
      <c r="AE4" s="10" t="n">
        <f aca="false">AD4+1</f>
        <v>45933</v>
      </c>
      <c r="AF4" s="10" t="n">
        <f aca="false">AE4+1</f>
        <v>45934</v>
      </c>
      <c r="AG4" s="10" t="n">
        <f aca="false">AF4+1</f>
        <v>45935</v>
      </c>
      <c r="AH4" s="10" t="n">
        <f aca="false">AG4+1</f>
        <v>45936</v>
      </c>
      <c r="AI4" s="11" t="n">
        <f aca="false">AH4+1</f>
        <v>45937</v>
      </c>
      <c r="AJ4" s="10" t="n">
        <f aca="false">AI4+1</f>
        <v>45938</v>
      </c>
      <c r="AK4" s="10" t="n">
        <f aca="false">AJ4+1</f>
        <v>45939</v>
      </c>
      <c r="AL4" s="11" t="n">
        <f aca="false">AK4+1</f>
        <v>45940</v>
      </c>
    </row>
    <row r="5" customFormat="false" ht="15.75" hidden="false" customHeight="false" outlineLevel="0" collapsed="false">
      <c r="A5" s="2"/>
      <c r="B5" s="12" t="s">
        <v>2</v>
      </c>
      <c r="C5" s="12" t="s">
        <v>3</v>
      </c>
      <c r="D5" s="12" t="s">
        <v>4</v>
      </c>
      <c r="E5" s="12" t="s">
        <v>5</v>
      </c>
      <c r="F5" s="12" t="s">
        <v>6</v>
      </c>
      <c r="G5" s="13"/>
      <c r="H5" s="14" t="str">
        <f aca="false">UPPER(LEFT(TEXT(H4,"ddd"),1))</f>
        <v>W</v>
      </c>
      <c r="I5" s="15" t="str">
        <f aca="false">UPPER(LEFT(TEXT(I4,"ddd"),1))</f>
        <v>T</v>
      </c>
      <c r="J5" s="15" t="str">
        <f aca="false">UPPER(LEFT(TEXT(J4,"ddd"),1))</f>
        <v>F</v>
      </c>
      <c r="K5" s="15" t="str">
        <f aca="false">UPPER(LEFT(TEXT(K4,"ddd"),1))</f>
        <v>S</v>
      </c>
      <c r="L5" s="15" t="str">
        <f aca="false">UPPER(LEFT(TEXT(L4,"ddd"),1))</f>
        <v>S</v>
      </c>
      <c r="M5" s="15" t="str">
        <f aca="false">UPPER(LEFT(TEXT(M4,"ddd"),1))</f>
        <v>M</v>
      </c>
      <c r="N5" s="16" t="str">
        <f aca="false">UPPER(LEFT(TEXT(N4,"ddd"),1))</f>
        <v>T</v>
      </c>
      <c r="O5" s="15" t="str">
        <f aca="false">UPPER(LEFT(TEXT(O4,"ddd"),1))</f>
        <v>W</v>
      </c>
      <c r="P5" s="15" t="str">
        <f aca="false">UPPER(LEFT(TEXT(P4,"ddd"),1))</f>
        <v>T</v>
      </c>
      <c r="Q5" s="15" t="str">
        <f aca="false">UPPER(LEFT(TEXT(Q4,"ddd"),1))</f>
        <v>F</v>
      </c>
      <c r="R5" s="15" t="str">
        <f aca="false">UPPER(LEFT(TEXT(R4,"ddd"),1))</f>
        <v>S</v>
      </c>
      <c r="S5" s="15" t="str">
        <f aca="false">UPPER(LEFT(TEXT(S4,"ddd"),1))</f>
        <v>S</v>
      </c>
      <c r="T5" s="15" t="str">
        <f aca="false">UPPER(LEFT(TEXT(T4,"ddd"),1))</f>
        <v>M</v>
      </c>
      <c r="U5" s="16" t="str">
        <f aca="false">UPPER(LEFT(TEXT(U4,"ddd"),1))</f>
        <v>T</v>
      </c>
      <c r="V5" s="15" t="str">
        <f aca="false">UPPER(LEFT(TEXT(V4,"ddd"),1))</f>
        <v>W</v>
      </c>
      <c r="W5" s="15" t="str">
        <f aca="false">UPPER(LEFT(TEXT(W4,"ddd"),1))</f>
        <v>T</v>
      </c>
      <c r="X5" s="15" t="str">
        <f aca="false">UPPER(LEFT(TEXT(X4,"ddd"),1))</f>
        <v>F</v>
      </c>
      <c r="Y5" s="15" t="str">
        <f aca="false">UPPER(LEFT(TEXT(Y4,"ddd"),1))</f>
        <v>S</v>
      </c>
      <c r="Z5" s="15" t="str">
        <f aca="false">UPPER(LEFT(TEXT(Z4,"ddd"),1))</f>
        <v>S</v>
      </c>
      <c r="AA5" s="15" t="str">
        <f aca="false">UPPER(LEFT(TEXT(AA4,"ddd"),1))</f>
        <v>M</v>
      </c>
      <c r="AB5" s="16" t="str">
        <f aca="false">UPPER(LEFT(TEXT(AB4,"ddd"),1))</f>
        <v>T</v>
      </c>
      <c r="AC5" s="15" t="str">
        <f aca="false">UPPER(LEFT(TEXT(AC4,"ddd"),1))</f>
        <v>W</v>
      </c>
      <c r="AD5" s="15" t="str">
        <f aca="false">UPPER(LEFT(TEXT(AD4,"ddd"),1))</f>
        <v>T</v>
      </c>
      <c r="AE5" s="15" t="str">
        <f aca="false">UPPER(LEFT(TEXT(AE4,"ddd"),1))</f>
        <v>F</v>
      </c>
      <c r="AF5" s="15" t="str">
        <f aca="false">UPPER(LEFT(TEXT(AF4,"ddd"),1))</f>
        <v>S</v>
      </c>
      <c r="AG5" s="15" t="str">
        <f aca="false">UPPER(LEFT(TEXT(AG4,"ddd"),1))</f>
        <v>S</v>
      </c>
      <c r="AH5" s="15" t="str">
        <f aca="false">UPPER(LEFT(TEXT(AH4,"ddd"),1))</f>
        <v>M</v>
      </c>
      <c r="AI5" s="16" t="str">
        <f aca="false">UPPER(LEFT(TEXT(AI4,"ddd"),1))</f>
        <v>T</v>
      </c>
      <c r="AJ5" s="15" t="str">
        <f aca="false">UPPER(LEFT(TEXT(AJ4,"ddd"),1))</f>
        <v>W</v>
      </c>
      <c r="AK5" s="15" t="str">
        <f aca="false">UPPER(LEFT(TEXT(AK4,"ddd"),1))</f>
        <v>T</v>
      </c>
      <c r="AL5" s="15" t="str">
        <f aca="false">UPPER(LEFT(TEXT(AL4,"ddd"),1))</f>
        <v>F</v>
      </c>
    </row>
    <row r="6" customFormat="false" ht="4.5" hidden="false" customHeight="true" outlineLevel="0" collapsed="false">
      <c r="A6" s="2"/>
      <c r="B6" s="17"/>
      <c r="C6" s="18"/>
      <c r="D6" s="19"/>
      <c r="E6" s="20"/>
      <c r="F6" s="20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</row>
    <row r="7" customFormat="false" ht="33.7" hidden="false" customHeight="false" outlineLevel="0" collapsed="false">
      <c r="A7" s="2"/>
      <c r="B7" s="21" t="s">
        <v>7</v>
      </c>
      <c r="C7" s="22"/>
      <c r="D7" s="23"/>
      <c r="E7" s="20"/>
      <c r="F7" s="20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</row>
    <row r="8" customFormat="false" ht="15.75" hidden="false" customHeight="false" outlineLevel="0" collapsed="false">
      <c r="A8" s="2"/>
      <c r="B8" s="24" t="s">
        <v>8</v>
      </c>
      <c r="C8" s="24" t="s">
        <v>9</v>
      </c>
      <c r="D8" s="23" t="n">
        <v>1</v>
      </c>
      <c r="E8" s="25" t="n">
        <v>45861</v>
      </c>
      <c r="F8" s="25" t="n">
        <v>45863</v>
      </c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</row>
    <row r="9" customFormat="false" ht="27.7" hidden="false" customHeight="false" outlineLevel="0" collapsed="false">
      <c r="A9" s="2"/>
      <c r="B9" s="26" t="s">
        <v>10</v>
      </c>
      <c r="C9" s="24" t="s">
        <v>11</v>
      </c>
      <c r="D9" s="23" t="n">
        <v>1</v>
      </c>
      <c r="E9" s="25" t="n">
        <v>45863</v>
      </c>
      <c r="F9" s="25" t="n">
        <v>45872</v>
      </c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</row>
    <row r="10" customFormat="false" ht="15.75" hidden="false" customHeight="false" outlineLevel="0" collapsed="false">
      <c r="A10" s="2"/>
      <c r="B10" s="24" t="s">
        <v>12</v>
      </c>
      <c r="C10" s="24" t="s">
        <v>13</v>
      </c>
      <c r="D10" s="23" t="n">
        <v>1</v>
      </c>
      <c r="E10" s="25" t="n">
        <v>45872</v>
      </c>
      <c r="F10" s="25" t="n">
        <v>45875</v>
      </c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</row>
    <row r="11" customFormat="false" ht="15.75" hidden="false" customHeight="false" outlineLevel="0" collapsed="false">
      <c r="A11" s="2"/>
      <c r="B11" s="24" t="s">
        <v>14</v>
      </c>
      <c r="C11" s="24" t="s">
        <v>13</v>
      </c>
      <c r="D11" s="23" t="n">
        <v>1</v>
      </c>
      <c r="E11" s="25" t="n">
        <v>45875</v>
      </c>
      <c r="F11" s="25" t="n">
        <v>45897</v>
      </c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</row>
    <row r="12" customFormat="false" ht="15.75" hidden="false" customHeight="false" outlineLevel="0" collapsed="false">
      <c r="A12" s="2"/>
      <c r="B12" s="24"/>
      <c r="C12" s="24"/>
      <c r="D12" s="23"/>
      <c r="E12" s="20"/>
      <c r="F12" s="25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</row>
    <row r="13" customFormat="false" ht="33.7" hidden="false" customHeight="false" outlineLevel="0" collapsed="false">
      <c r="A13" s="2"/>
      <c r="B13" s="21" t="s">
        <v>15</v>
      </c>
      <c r="C13" s="24"/>
      <c r="D13" s="23"/>
      <c r="E13" s="20"/>
      <c r="F13" s="20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</row>
    <row r="14" customFormat="false" ht="27.7" hidden="false" customHeight="false" outlineLevel="0" collapsed="false">
      <c r="A14" s="2"/>
      <c r="B14" s="24" t="s">
        <v>16</v>
      </c>
      <c r="C14" s="24" t="s">
        <v>17</v>
      </c>
      <c r="D14" s="23" t="n">
        <v>1</v>
      </c>
      <c r="E14" s="25" t="n">
        <v>45910</v>
      </c>
      <c r="F14" s="25" t="n">
        <v>45918</v>
      </c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</row>
    <row r="15" customFormat="false" ht="27.7" hidden="false" customHeight="false" outlineLevel="0" collapsed="false">
      <c r="A15" s="2"/>
      <c r="B15" s="24" t="s">
        <v>18</v>
      </c>
      <c r="C15" s="24" t="s">
        <v>19</v>
      </c>
      <c r="D15" s="23" t="n">
        <v>1</v>
      </c>
      <c r="E15" s="25" t="n">
        <v>45910</v>
      </c>
      <c r="F15" s="25" t="n">
        <v>45918</v>
      </c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</row>
    <row r="16" customFormat="false" ht="15.75" hidden="false" customHeight="false" outlineLevel="0" collapsed="false">
      <c r="A16" s="2"/>
      <c r="B16" s="24" t="s">
        <v>20</v>
      </c>
      <c r="C16" s="24" t="s">
        <v>21</v>
      </c>
      <c r="D16" s="23" t="n">
        <v>1</v>
      </c>
      <c r="E16" s="25" t="n">
        <v>45914</v>
      </c>
      <c r="F16" s="25" t="n">
        <v>45926</v>
      </c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</row>
    <row r="17" customFormat="false" ht="15.75" hidden="false" customHeight="false" outlineLevel="0" collapsed="false">
      <c r="A17" s="2"/>
      <c r="B17" s="24" t="s">
        <v>22</v>
      </c>
      <c r="C17" s="24" t="s">
        <v>23</v>
      </c>
      <c r="D17" s="23" t="n">
        <v>0.1</v>
      </c>
      <c r="E17" s="25" t="n">
        <v>45925</v>
      </c>
      <c r="F17" s="25" t="n">
        <v>45955</v>
      </c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</row>
    <row r="18" customFormat="false" ht="27.7" hidden="false" customHeight="false" outlineLevel="0" collapsed="false">
      <c r="A18" s="2"/>
      <c r="B18" s="24" t="s">
        <v>24</v>
      </c>
      <c r="C18" s="24" t="s">
        <v>13</v>
      </c>
      <c r="D18" s="23" t="n">
        <v>0.5</v>
      </c>
      <c r="E18" s="25" t="n">
        <v>45927</v>
      </c>
      <c r="F18" s="25" t="n">
        <v>45930</v>
      </c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</row>
    <row r="19" customFormat="false" ht="15.75" hidden="false" customHeight="false" outlineLevel="0" collapsed="false">
      <c r="A19" s="2"/>
      <c r="B19" s="24"/>
      <c r="C19" s="24"/>
      <c r="D19" s="23"/>
      <c r="E19" s="20"/>
      <c r="F19" s="20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</row>
    <row r="20" customFormat="false" ht="30.7" hidden="false" customHeight="false" outlineLevel="0" collapsed="false">
      <c r="A20" s="2"/>
      <c r="B20" s="24" t="s">
        <v>25</v>
      </c>
      <c r="C20" s="24"/>
      <c r="D20" s="23"/>
      <c r="E20" s="20"/>
      <c r="F20" s="20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</row>
    <row r="21" customFormat="false" ht="27.7" hidden="false" customHeight="false" outlineLevel="0" collapsed="false">
      <c r="A21" s="2"/>
      <c r="B21" s="24" t="s">
        <v>26</v>
      </c>
      <c r="C21" s="24" t="s">
        <v>13</v>
      </c>
      <c r="D21" s="23" t="n">
        <v>0</v>
      </c>
      <c r="E21" s="25" t="n">
        <v>45927</v>
      </c>
      <c r="F21" s="25" t="n">
        <v>45930</v>
      </c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</row>
    <row r="22" customFormat="false" ht="27.7" hidden="false" customHeight="false" outlineLevel="0" collapsed="false">
      <c r="A22" s="2"/>
      <c r="B22" s="24" t="s">
        <v>27</v>
      </c>
      <c r="C22" s="24" t="s">
        <v>28</v>
      </c>
      <c r="D22" s="23" t="n">
        <v>0</v>
      </c>
      <c r="E22" s="25" t="n">
        <v>45930</v>
      </c>
      <c r="F22" s="25" t="n">
        <v>45935</v>
      </c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</row>
    <row r="23" customFormat="false" ht="27.7" hidden="false" customHeight="false" outlineLevel="0" collapsed="false">
      <c r="A23" s="2"/>
      <c r="B23" s="24" t="s">
        <v>29</v>
      </c>
      <c r="C23" s="24" t="s">
        <v>23</v>
      </c>
      <c r="D23" s="23" t="n">
        <v>0</v>
      </c>
      <c r="E23" s="25" t="n">
        <v>45935</v>
      </c>
      <c r="F23" s="25" t="n">
        <v>45946</v>
      </c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</row>
    <row r="24" customFormat="false" ht="27.7" hidden="false" customHeight="false" outlineLevel="0" collapsed="false">
      <c r="A24" s="2"/>
      <c r="B24" s="24" t="s">
        <v>30</v>
      </c>
      <c r="C24" s="24" t="s">
        <v>21</v>
      </c>
      <c r="D24" s="23" t="n">
        <v>0</v>
      </c>
      <c r="E24" s="25" t="n">
        <v>45940</v>
      </c>
      <c r="F24" s="25" t="n">
        <v>45950</v>
      </c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</row>
    <row r="25" customFormat="false" ht="27.7" hidden="false" customHeight="false" outlineLevel="0" collapsed="false">
      <c r="A25" s="2"/>
      <c r="B25" s="24" t="s">
        <v>31</v>
      </c>
      <c r="C25" s="24" t="s">
        <v>13</v>
      </c>
      <c r="D25" s="23" t="n">
        <v>0</v>
      </c>
      <c r="E25" s="25" t="n">
        <v>45940</v>
      </c>
      <c r="F25" s="25" t="s">
        <v>32</v>
      </c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</row>
    <row r="26" customFormat="false" ht="15.75" hidden="false" customHeight="false" outlineLevel="0" collapsed="false">
      <c r="A26" s="2"/>
      <c r="B26" s="24"/>
      <c r="C26" s="24"/>
      <c r="D26" s="23"/>
      <c r="E26" s="20"/>
      <c r="F26" s="20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</row>
    <row r="27" customFormat="false" ht="27.7" hidden="false" customHeight="false" outlineLevel="0" collapsed="false">
      <c r="A27" s="2"/>
      <c r="B27" s="24" t="s">
        <v>33</v>
      </c>
      <c r="C27" s="24"/>
      <c r="D27" s="23"/>
      <c r="E27" s="20"/>
      <c r="F27" s="20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</row>
    <row r="28" customFormat="false" ht="27.7" hidden="false" customHeight="false" outlineLevel="0" collapsed="false">
      <c r="A28" s="2"/>
      <c r="B28" s="24" t="s">
        <v>34</v>
      </c>
      <c r="C28" s="24" t="s">
        <v>13</v>
      </c>
      <c r="D28" s="23" t="n">
        <v>0</v>
      </c>
      <c r="E28" s="25" t="n">
        <v>45950</v>
      </c>
      <c r="F28" s="25" t="n">
        <v>45955</v>
      </c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</row>
    <row r="29" customFormat="false" ht="27.7" hidden="false" customHeight="false" outlineLevel="0" collapsed="false">
      <c r="A29" s="2"/>
      <c r="B29" s="24" t="s">
        <v>35</v>
      </c>
      <c r="C29" s="24" t="s">
        <v>19</v>
      </c>
      <c r="D29" s="23" t="n">
        <v>0</v>
      </c>
      <c r="E29" s="25" t="n">
        <v>45955</v>
      </c>
      <c r="F29" s="25" t="n">
        <v>45956</v>
      </c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</row>
    <row r="30" customFormat="false" ht="27.7" hidden="false" customHeight="false" outlineLevel="0" collapsed="false">
      <c r="A30" s="2"/>
      <c r="B30" s="24" t="s">
        <v>36</v>
      </c>
      <c r="C30" s="24" t="s">
        <v>37</v>
      </c>
      <c r="D30" s="23" t="n">
        <v>0</v>
      </c>
      <c r="E30" s="25" t="n">
        <v>45951</v>
      </c>
      <c r="F30" s="25" t="n">
        <v>45955</v>
      </c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</row>
    <row r="31" customFormat="false" ht="15.75" hidden="false" customHeight="false" outlineLevel="0" collapsed="false">
      <c r="A31" s="2"/>
      <c r="B31" s="24" t="s">
        <v>38</v>
      </c>
      <c r="C31" s="24" t="s">
        <v>13</v>
      </c>
      <c r="D31" s="23" t="n">
        <v>0</v>
      </c>
      <c r="E31" s="25" t="n">
        <v>45954</v>
      </c>
      <c r="F31" s="25" t="n">
        <v>45958</v>
      </c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</row>
    <row r="32" customFormat="false" ht="15.75" hidden="false" customHeight="false" outlineLevel="0" collapsed="false">
      <c r="A32" s="2"/>
      <c r="B32" s="24" t="s">
        <v>39</v>
      </c>
      <c r="C32" s="24" t="s">
        <v>13</v>
      </c>
      <c r="D32" s="23" t="n">
        <v>0</v>
      </c>
      <c r="E32" s="25" t="n">
        <v>45960</v>
      </c>
      <c r="F32" s="25" t="n">
        <v>45960</v>
      </c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</row>
    <row r="33" customFormat="false" ht="15.7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 customFormat="false" ht="15.7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customFormat="false" ht="15.7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customFormat="false" ht="15.7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 customFormat="false" ht="15.7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 customFormat="false" ht="15.7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 customFormat="false" ht="15.7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 customFormat="false" ht="15.7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customFormat="false" ht="15.7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 customFormat="false" ht="15.7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 customFormat="false" ht="15.7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 customFormat="false" ht="15.7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 customFormat="false" ht="15.7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 customFormat="false" ht="15.7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 customFormat="false" ht="15.7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 customFormat="false" ht="15.7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 customFormat="false" ht="15.7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 customFormat="false" ht="15.7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customFormat="false" ht="15.7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customFormat="false" ht="15.7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customFormat="false" ht="15.7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customFormat="false" ht="15.7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customFormat="false" ht="15.7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customFormat="false" ht="15.7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customFormat="false" ht="15.7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 customFormat="false" ht="15.7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 customFormat="false" ht="15.7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 customFormat="false" ht="15.7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 customFormat="false" ht="15.7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customFormat="false" ht="15.7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customFormat="false" ht="15.7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 customFormat="false" ht="15.7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customFormat="false" ht="15.7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 customFormat="false" ht="15.7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 customFormat="false" ht="15.7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 customFormat="false" ht="15.7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 customFormat="false" ht="15.7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 customFormat="false" ht="15.7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customFormat="false" ht="15.7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customFormat="false" ht="15.7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 customFormat="false" ht="15.7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 customFormat="false" ht="15.7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 customFormat="false" ht="15.7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 customFormat="false" ht="15.7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 customFormat="false" ht="15.7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 customFormat="false" ht="15.7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 customFormat="false" ht="15.7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 customFormat="false" ht="15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 customFormat="false" ht="15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 customFormat="false" ht="15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 customFormat="false" ht="15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 customFormat="false" ht="15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 customFormat="false" ht="15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 customFormat="false" ht="15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customFormat="false" ht="15.7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customFormat="false" ht="15.7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 customFormat="false" ht="15.7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 customFormat="false" ht="15.7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 customFormat="false" ht="15.75" hidden="false" customHeight="true" outlineLevel="0" collapsed="false">
      <c r="C970" s="2"/>
    </row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7">
    <mergeCell ref="H3:N3"/>
    <mergeCell ref="O3:U3"/>
    <mergeCell ref="V3:AB3"/>
    <mergeCell ref="AC3:AI3"/>
    <mergeCell ref="AJ3:AL3"/>
    <mergeCell ref="C4:D4"/>
    <mergeCell ref="E4:F4"/>
  </mergeCells>
  <conditionalFormatting sqref="H6:AL32">
    <cfRule type="expression" priority="2" aboveAverage="0" equalAverage="0" bottom="0" percent="0" rank="0" text="" dxfId="0">
      <formula>H$4=TODAY()</formula>
    </cfRule>
    <cfRule type="expression" priority="3" aboveAverage="0" equalAverage="0" bottom="0" percent="0" rank="0" text="" dxfId="1">
      <formula>AND(H$4&gt;=$E6,H$4&lt;=((($F6-$E6+1)*$D6)+$E6-1))</formula>
    </cfRule>
    <cfRule type="expression" priority="4" aboveAverage="0" equalAverage="0" bottom="0" percent="0" rank="0" text="" dxfId="2">
      <formula>AND(H$4&gt;=$E6,H$4&lt;=$F6)</formula>
    </cfRule>
  </conditionalFormatting>
  <conditionalFormatting sqref="D6:D26">
    <cfRule type="dataBar" priority="5">
      <dataBar showValue="1" minLength="10" maxLength="90"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{4CB93B92-FE8C-4440-811F-F3B8D26DCAE2}</x14:id>
        </ext>
      </extLst>
    </cfRule>
  </conditionalFormatting>
  <conditionalFormatting sqref="D27:D32">
    <cfRule type="dataBar" priority="6">
      <dataBar showValue="1" minLength="10" maxLength="90"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{29A97025-D730-4F73-B3D3-F2F0D2B6FBFD}</x14:id>
        </ext>
      </extLst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CB93B92-FE8C-4440-811F-F3B8D26DCAE2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D6:D26</xm:sqref>
        </x14:conditionalFormatting>
        <x14:conditionalFormatting xmlns:xm="http://schemas.microsoft.com/office/excel/2006/main">
          <x14:cfRule type="dataBar" id="{29A97025-D730-4F73-B3D3-F2F0D2B6FBFD}">
            <x14:dataBar minLength="10" maxLength="90" axisPosition="automatic" gradient="fals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D27:D32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2024-12-29T21:45:29Z</dcterms:created>
  <dc:creator>Rodrigo Miranda</dc:creator>
  <dc:description/>
  <dc:language>en-US</dc:language>
  <cp:lastModifiedBy/>
  <dcterms:modified xsi:type="dcterms:W3CDTF">2025-09-26T11:21:34Z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